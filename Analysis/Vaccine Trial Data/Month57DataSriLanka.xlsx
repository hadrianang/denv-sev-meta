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Analysis/Vaccine Trial Data/"/>
    </mc:Choice>
  </mc:AlternateContent>
  <xr:revisionPtr revIDLastSave="170" documentId="8_{E91B4F61-8A3E-4A81-B3B7-B6C06AD8425D}" xr6:coauthVersionLast="47" xr6:coauthVersionMax="47" xr10:uidLastSave="{867DF92A-8602-44AE-AEB8-F564E32A0EC9}"/>
  <bookViews>
    <workbookView xWindow="-23148" yWindow="-108" windowWidth="23256" windowHeight="12456" xr2:uid="{A8FF0744-844E-434B-B7FE-05EF2AB9831B}"/>
  </bookViews>
  <sheets>
    <sheet name="Sheet1" sheetId="1" r:id="rId1"/>
    <sheet name="Cal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2" i="3"/>
  <c r="J3" i="3"/>
  <c r="N3" i="3" s="1"/>
  <c r="J4" i="3"/>
  <c r="J5" i="3"/>
  <c r="N5" i="3" s="1"/>
  <c r="J2" i="3"/>
  <c r="I3" i="3"/>
  <c r="K3" i="3" s="1"/>
  <c r="I4" i="3"/>
  <c r="K4" i="3" s="1"/>
  <c r="I5" i="3"/>
  <c r="K5" i="3" s="1"/>
  <c r="I2" i="3"/>
  <c r="K2" i="3" s="1"/>
  <c r="C7" i="1"/>
  <c r="C8" i="1"/>
  <c r="C9" i="1"/>
  <c r="C6" i="1"/>
  <c r="N2" i="3" l="1"/>
  <c r="N4" i="3"/>
</calcChain>
</file>

<file path=xl/sharedStrings.xml><?xml version="1.0" encoding="utf-8"?>
<sst xmlns="http://schemas.openxmlformats.org/spreadsheetml/2006/main" count="60" uniqueCount="18">
  <si>
    <t>Serotype</t>
  </si>
  <si>
    <t>VCD</t>
  </si>
  <si>
    <t>Hospitalised</t>
  </si>
  <si>
    <t>DENV1</t>
  </si>
  <si>
    <t>DENV2</t>
  </si>
  <si>
    <t>DENV3</t>
  </si>
  <si>
    <t>DENV4</t>
  </si>
  <si>
    <t>All</t>
  </si>
  <si>
    <t>Scope</t>
  </si>
  <si>
    <t>Exc. Sri Lanka</t>
  </si>
  <si>
    <t>Sri Lanka Only</t>
  </si>
  <si>
    <t>Serostatus</t>
  </si>
  <si>
    <t>Positive</t>
  </si>
  <si>
    <t>Negative</t>
  </si>
  <si>
    <t>HospitalisedExcSriLanka</t>
  </si>
  <si>
    <t>VCDExcSriLanka</t>
  </si>
  <si>
    <t>VCDSriLanka</t>
  </si>
  <si>
    <t>HospitalisedSriLanka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</si>
</sst>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6CCFE-289C-42B4-86E9-39499FE269EA}">
  <dimension ref="A1:D13"/>
  <sheetViews>
    <sheetView tabSelected="1" workbookViewId="0">
      <selection activeCell="C10" sqref="C10:D13"/>
    </sheetView>
  </sheetViews>
  <sheetFormatPr defaultRowHeight="14.4" x14ac:dyDescent="0.3"/>
  <cols>
    <col min="1" max="1" width="13.5546875" bestFit="1" customWidth="1"/>
    <col min="3" max="3" width="5" bestFit="1" customWidth="1"/>
    <col min="4" max="4" width="12.44140625" bestFit="1" customWidth="1"/>
  </cols>
  <sheetData>
    <row r="1" spans="1:4" s="1" customFormat="1" x14ac:dyDescent="0.3">
      <c r="A1" s="1" t="s">
        <v>8</v>
      </c>
      <c r="B1" s="1" t="s">
        <v>0</v>
      </c>
      <c r="C1" s="1" t="s">
        <v>1</v>
      </c>
      <c r="D1" s="1" t="s">
        <v>2</v>
      </c>
    </row>
    <row r="2" spans="1:4" x14ac:dyDescent="0.3">
      <c r="A2" t="s">
        <v>7</v>
      </c>
      <c r="B2" t="s">
        <v>3</v>
      </c>
      <c r="C2">
        <v>230</v>
      </c>
      <c r="D2">
        <v>38</v>
      </c>
    </row>
    <row r="3" spans="1:4" x14ac:dyDescent="0.3">
      <c r="A3" t="s">
        <v>7</v>
      </c>
      <c r="B3" t="s">
        <v>4</v>
      </c>
      <c r="C3">
        <v>193</v>
      </c>
      <c r="D3">
        <v>82</v>
      </c>
    </row>
    <row r="4" spans="1:4" x14ac:dyDescent="0.3">
      <c r="A4" t="s">
        <v>7</v>
      </c>
      <c r="B4" t="s">
        <v>5</v>
      </c>
      <c r="C4">
        <v>113</v>
      </c>
      <c r="D4">
        <v>18</v>
      </c>
    </row>
    <row r="5" spans="1:4" x14ac:dyDescent="0.3">
      <c r="A5" t="s">
        <v>7</v>
      </c>
      <c r="B5" t="s">
        <v>6</v>
      </c>
      <c r="C5">
        <v>23</v>
      </c>
      <c r="D5">
        <v>4</v>
      </c>
    </row>
    <row r="6" spans="1:4" x14ac:dyDescent="0.3">
      <c r="A6" t="s">
        <v>9</v>
      </c>
      <c r="B6" t="s">
        <v>3</v>
      </c>
      <c r="C6">
        <f>C2-C10</f>
        <v>220</v>
      </c>
      <c r="D6">
        <v>34</v>
      </c>
    </row>
    <row r="7" spans="1:4" x14ac:dyDescent="0.3">
      <c r="A7" t="s">
        <v>9</v>
      </c>
      <c r="B7" t="s">
        <v>4</v>
      </c>
      <c r="C7">
        <f t="shared" ref="C7:C9" si="0">C3-C11</f>
        <v>106</v>
      </c>
      <c r="D7">
        <v>21</v>
      </c>
    </row>
    <row r="8" spans="1:4" x14ac:dyDescent="0.3">
      <c r="A8" t="s">
        <v>9</v>
      </c>
      <c r="B8" t="s">
        <v>5</v>
      </c>
      <c r="C8">
        <f t="shared" si="0"/>
        <v>108</v>
      </c>
      <c r="D8">
        <v>14</v>
      </c>
    </row>
    <row r="9" spans="1:4" x14ac:dyDescent="0.3">
      <c r="A9" t="s">
        <v>9</v>
      </c>
      <c r="B9" t="s">
        <v>6</v>
      </c>
      <c r="C9">
        <f t="shared" si="0"/>
        <v>22</v>
      </c>
      <c r="D9">
        <v>3</v>
      </c>
    </row>
    <row r="10" spans="1:4" x14ac:dyDescent="0.3">
      <c r="A10" t="s">
        <v>10</v>
      </c>
      <c r="B10" t="s">
        <v>3</v>
      </c>
      <c r="C10">
        <v>10</v>
      </c>
      <c r="D10">
        <v>4</v>
      </c>
    </row>
    <row r="11" spans="1:4" x14ac:dyDescent="0.3">
      <c r="A11" t="s">
        <v>10</v>
      </c>
      <c r="B11" t="s">
        <v>4</v>
      </c>
      <c r="C11">
        <v>87</v>
      </c>
      <c r="D11">
        <v>61</v>
      </c>
    </row>
    <row r="12" spans="1:4" x14ac:dyDescent="0.3">
      <c r="A12" t="s">
        <v>10</v>
      </c>
      <c r="B12" t="s">
        <v>5</v>
      </c>
      <c r="C12">
        <v>5</v>
      </c>
      <c r="D12">
        <v>4</v>
      </c>
    </row>
    <row r="13" spans="1:4" x14ac:dyDescent="0.3">
      <c r="A13" t="s">
        <v>10</v>
      </c>
      <c r="B13" t="s">
        <v>6</v>
      </c>
      <c r="C13">
        <v>1</v>
      </c>
      <c r="D13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FF1C-52F5-48AB-878F-81BBE8E34BFD}">
  <dimension ref="A1:N9"/>
  <sheetViews>
    <sheetView zoomScale="115" zoomScaleNormal="115" workbookViewId="0">
      <selection activeCell="L2" sqref="L2:L4"/>
    </sheetView>
  </sheetViews>
  <sheetFormatPr defaultRowHeight="14.4" x14ac:dyDescent="0.3"/>
  <cols>
    <col min="1" max="2" width="12.88671875" customWidth="1"/>
    <col min="4" max="4" width="14.33203125" customWidth="1"/>
    <col min="5" max="5" width="22.109375" customWidth="1"/>
    <col min="10" max="10" width="13.33203125" customWidth="1"/>
    <col min="11" max="11" width="20.5546875" customWidth="1"/>
    <col min="12" max="12" width="22.33203125" bestFit="1" customWidth="1"/>
    <col min="13" max="13" width="12" bestFit="1" customWidth="1"/>
    <col min="14" max="14" width="19.33203125" bestFit="1" customWidth="1"/>
  </cols>
  <sheetData>
    <row r="1" spans="1:14" s="1" customFormat="1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14</v>
      </c>
      <c r="H1" s="1" t="s">
        <v>0</v>
      </c>
      <c r="I1" s="1" t="s">
        <v>1</v>
      </c>
      <c r="J1" s="1" t="s">
        <v>2</v>
      </c>
      <c r="K1" s="1" t="s">
        <v>15</v>
      </c>
      <c r="L1" s="1" t="s">
        <v>14</v>
      </c>
      <c r="M1" s="1" t="s">
        <v>16</v>
      </c>
      <c r="N1" s="1" t="s">
        <v>17</v>
      </c>
    </row>
    <row r="2" spans="1:14" x14ac:dyDescent="0.3">
      <c r="A2" t="s">
        <v>3</v>
      </c>
      <c r="B2" t="s">
        <v>12</v>
      </c>
      <c r="C2">
        <v>151</v>
      </c>
      <c r="D2">
        <v>24</v>
      </c>
      <c r="E2">
        <v>22</v>
      </c>
      <c r="H2" t="s">
        <v>3</v>
      </c>
      <c r="I2">
        <f>C2+C6</f>
        <v>230</v>
      </c>
      <c r="J2">
        <f>D2+D6</f>
        <v>38</v>
      </c>
      <c r="K2">
        <f>I2-M2</f>
        <v>220</v>
      </c>
      <c r="L2">
        <f>E2+E6</f>
        <v>34</v>
      </c>
      <c r="M2">
        <v>10</v>
      </c>
      <c r="N2">
        <f>J2-L2</f>
        <v>4</v>
      </c>
    </row>
    <row r="3" spans="1:14" x14ac:dyDescent="0.3">
      <c r="A3" t="s">
        <v>4</v>
      </c>
      <c r="B3" t="s">
        <v>12</v>
      </c>
      <c r="C3">
        <v>135</v>
      </c>
      <c r="D3">
        <v>59</v>
      </c>
      <c r="E3">
        <v>18</v>
      </c>
      <c r="H3" t="s">
        <v>4</v>
      </c>
      <c r="I3">
        <f t="shared" ref="I3:I5" si="0">C3+C7</f>
        <v>193</v>
      </c>
      <c r="J3">
        <f t="shared" ref="J3:J5" si="1">D3+D7</f>
        <v>82</v>
      </c>
      <c r="K3">
        <f>I3-M3</f>
        <v>106</v>
      </c>
      <c r="L3">
        <f>E3+E7</f>
        <v>21</v>
      </c>
      <c r="M3">
        <v>87</v>
      </c>
      <c r="N3">
        <f>J3-L3</f>
        <v>61</v>
      </c>
    </row>
    <row r="4" spans="1:14" x14ac:dyDescent="0.3">
      <c r="A4" t="s">
        <v>5</v>
      </c>
      <c r="B4" t="s">
        <v>12</v>
      </c>
      <c r="C4">
        <v>97</v>
      </c>
      <c r="D4">
        <v>15</v>
      </c>
      <c r="E4">
        <v>11</v>
      </c>
      <c r="H4" t="s">
        <v>5</v>
      </c>
      <c r="I4">
        <f t="shared" si="0"/>
        <v>113</v>
      </c>
      <c r="J4">
        <f t="shared" si="1"/>
        <v>18</v>
      </c>
      <c r="K4">
        <f>I4-M4</f>
        <v>108</v>
      </c>
      <c r="L4">
        <f>E4+E8</f>
        <v>14</v>
      </c>
      <c r="M4">
        <v>5</v>
      </c>
      <c r="N4">
        <f>J4-L4</f>
        <v>4</v>
      </c>
    </row>
    <row r="5" spans="1:14" x14ac:dyDescent="0.3">
      <c r="A5" t="s">
        <v>6</v>
      </c>
      <c r="B5" t="s">
        <v>12</v>
      </c>
      <c r="C5">
        <v>20</v>
      </c>
      <c r="D5">
        <v>3</v>
      </c>
      <c r="E5">
        <v>2</v>
      </c>
      <c r="H5" t="s">
        <v>6</v>
      </c>
      <c r="I5">
        <f t="shared" si="0"/>
        <v>23</v>
      </c>
      <c r="J5">
        <f t="shared" si="1"/>
        <v>4</v>
      </c>
      <c r="K5">
        <f>I5-M5</f>
        <v>22</v>
      </c>
      <c r="L5">
        <f>E5+E9</f>
        <v>3</v>
      </c>
      <c r="M5">
        <v>1</v>
      </c>
      <c r="N5">
        <f>J5-L5</f>
        <v>1</v>
      </c>
    </row>
    <row r="6" spans="1:14" x14ac:dyDescent="0.3">
      <c r="A6" t="s">
        <v>3</v>
      </c>
      <c r="B6" t="s">
        <v>13</v>
      </c>
      <c r="C6">
        <v>79</v>
      </c>
      <c r="D6">
        <v>14</v>
      </c>
      <c r="E6">
        <v>12</v>
      </c>
    </row>
    <row r="7" spans="1:14" x14ac:dyDescent="0.3">
      <c r="A7" t="s">
        <v>4</v>
      </c>
      <c r="B7" t="s">
        <v>13</v>
      </c>
      <c r="C7">
        <v>58</v>
      </c>
      <c r="D7">
        <v>23</v>
      </c>
      <c r="E7">
        <v>3</v>
      </c>
    </row>
    <row r="8" spans="1:14" x14ac:dyDescent="0.3">
      <c r="A8" t="s">
        <v>5</v>
      </c>
      <c r="B8" t="s">
        <v>13</v>
      </c>
      <c r="C8">
        <v>16</v>
      </c>
      <c r="D8">
        <v>3</v>
      </c>
      <c r="E8">
        <v>3</v>
      </c>
    </row>
    <row r="9" spans="1:14" x14ac:dyDescent="0.3">
      <c r="A9" t="s">
        <v>6</v>
      </c>
      <c r="B9" t="s">
        <v>13</v>
      </c>
      <c r="C9">
        <v>3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Ang, Hadrian Jules</dc:creator>
  <cp:lastModifiedBy>Ang, Hadrian Jules</cp:lastModifiedBy>
  <dcterms:created xsi:type="dcterms:W3CDTF">2024-11-27T13:07:42Z</dcterms:created>
  <dcterms:modified xsi:type="dcterms:W3CDTF">2025-08-06T18:15:50Z</dcterms:modified>
</cp:coreProperties>
</file>