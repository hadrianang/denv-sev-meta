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imperiallondon-my.sharepoint.com/personal/hya21_ic_ac_uk/Documents/PhD/Literature Review/Post-ESA Data Extraction/Extraction/Group Review/GitHubRepo/Data/"/>
    </mc:Choice>
  </mc:AlternateContent>
  <xr:revisionPtr revIDLastSave="242" documentId="8_{AC6DC7EA-93E4-4DAF-AEA3-95A7C5A36E14}" xr6:coauthVersionLast="47" xr6:coauthVersionMax="47" xr10:uidLastSave="{0027B9B5-7D25-44B1-97FD-1F6AD8329373}"/>
  <bookViews>
    <workbookView xWindow="-23148" yWindow="-108" windowWidth="23256" windowHeight="12456" xr2:uid="{864015B7-DDC4-4993-BEC7-DBFDF8904F8E}"/>
  </bookViews>
  <sheets>
    <sheet name="Unspecified" sheetId="1" r:id="rId1"/>
    <sheet name="Uncombined" sheetId="5" r:id="rId2"/>
    <sheet name="AgeOnly" sheetId="2" r:id="rId3"/>
    <sheet name="AgeRaw" sheetId="4" r:id="rId4"/>
    <sheet name="Processing" sheetId="6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" i="6" l="1"/>
  <c r="L2" i="6"/>
  <c r="K2" i="6"/>
  <c r="I2" i="6"/>
  <c r="H2" i="6"/>
  <c r="G2" i="6"/>
  <c r="M3" i="6"/>
  <c r="M4" i="6"/>
  <c r="M5" i="6"/>
  <c r="M2" i="6"/>
  <c r="G3" i="6"/>
  <c r="J3" i="6" s="1"/>
  <c r="G4" i="6"/>
  <c r="J4" i="6" s="1"/>
  <c r="G5" i="6"/>
  <c r="J5" i="6" s="1"/>
  <c r="I5" i="6"/>
  <c r="K5" i="6"/>
  <c r="L5" i="6"/>
  <c r="L4" i="6"/>
  <c r="I4" i="6"/>
  <c r="K4" i="6"/>
  <c r="I3" i="6"/>
  <c r="K3" i="6"/>
  <c r="L3" i="6"/>
  <c r="H3" i="6"/>
  <c r="H4" i="6"/>
  <c r="H5" i="6"/>
  <c r="C3" i="1"/>
  <c r="C4" i="1"/>
  <c r="C5" i="1"/>
  <c r="C2" i="1"/>
  <c r="C3" i="2"/>
  <c r="D3" i="2"/>
  <c r="E3" i="2"/>
  <c r="F3" i="2"/>
  <c r="C4" i="2"/>
  <c r="D4" i="2"/>
  <c r="E4" i="2"/>
  <c r="F4" i="2"/>
  <c r="C5" i="2"/>
  <c r="D5" i="2"/>
  <c r="E5" i="2"/>
  <c r="F5" i="2"/>
  <c r="C6" i="2"/>
  <c r="D6" i="2"/>
  <c r="E6" i="2"/>
  <c r="F6" i="2"/>
  <c r="C7" i="2"/>
  <c r="D7" i="2"/>
  <c r="E7" i="2"/>
  <c r="F7" i="2"/>
  <c r="C8" i="2"/>
  <c r="D8" i="2"/>
  <c r="E8" i="2"/>
  <c r="F8" i="2"/>
  <c r="D2" i="2"/>
  <c r="E2" i="2"/>
  <c r="F2" i="2"/>
  <c r="C2" i="2"/>
</calcChain>
</file>

<file path=xl/sharedStrings.xml><?xml version="1.0" encoding="utf-8"?>
<sst xmlns="http://schemas.openxmlformats.org/spreadsheetml/2006/main" count="58" uniqueCount="29">
  <si>
    <t>Asymptomatic</t>
  </si>
  <si>
    <t>DF</t>
  </si>
  <si>
    <t>DHF</t>
  </si>
  <si>
    <t>DSS</t>
  </si>
  <si>
    <t>DENV1</t>
  </si>
  <si>
    <t>DENV2</t>
  </si>
  <si>
    <t>DENV3</t>
  </si>
  <si>
    <t>DENV4</t>
  </si>
  <si>
    <t>CD</t>
  </si>
  <si>
    <t>1-5</t>
  </si>
  <si>
    <t>6-10</t>
  </si>
  <si>
    <t>11-20</t>
  </si>
  <si>
    <t>21-35</t>
  </si>
  <si>
    <t>36-50</t>
  </si>
  <si>
    <t>51-65</t>
  </si>
  <si>
    <t>&gt;65</t>
  </si>
  <si>
    <t>DengueCases</t>
  </si>
  <si>
    <t>Serotype</t>
  </si>
  <si>
    <t>PercentDF</t>
  </si>
  <si>
    <t>PercentCD</t>
  </si>
  <si>
    <t>PercentDHF</t>
  </si>
  <si>
    <t>PercentDSS</t>
  </si>
  <si>
    <t>NumDF</t>
  </si>
  <si>
    <t>NumCD</t>
  </si>
  <si>
    <t>NumDHF</t>
  </si>
  <si>
    <t>NumDSS</t>
  </si>
  <si>
    <t>NumClass</t>
  </si>
  <si>
    <t>PercentClassic</t>
  </si>
  <si>
    <t>TotalCases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</si>
</sst>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0">
    <xf numFmtId="0" fontId="0" fillId="0" borderId="0" xfId="0"/>
    <xf numFmtId="49" fontId="0" fillId="0" borderId="0" xfId="0" applyNumberFormat="1"/>
    <xf numFmtId="0" fontId="2" fillId="0" borderId="0" xfId="0" applyFont="1"/>
    <xf numFmtId="10" fontId="0" fillId="0" borderId="0" xfId="1" applyNumberFormat="1" applyFont="1"/>
    <xf numFmtId="0" fontId="2" fillId="0" borderId="0" xfId="0" applyFont="1" applyAlignment="1">
      <alignment horizontal="left"/>
    </xf>
    <xf numFmtId="10" fontId="0" fillId="0" borderId="0" xfId="0" applyNumberFormat="1"/>
    <xf numFmtId="2" fontId="0" fillId="0" borderId="0" xfId="0" applyNumberFormat="1"/>
    <xf numFmtId="0" fontId="2" fillId="2" borderId="0" xfId="0" applyFont="1" applyFill="1"/>
    <xf numFmtId="0" fontId="0" fillId="2" borderId="0" xfId="0" applyFill="1"/>
    <xf numFmtId="2" fontId="0" fillId="2" borderId="0" xfId="0" applyNumberFormat="1" applyFill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52BDD8-9B15-4EF0-8606-F39704D45789}">
  <dimension ref="A1:E5"/>
  <sheetViews>
    <sheetView tabSelected="1" workbookViewId="0">
      <selection activeCell="F2" sqref="F2:F8"/>
    </sheetView>
  </sheetViews>
  <sheetFormatPr defaultRowHeight="14.4" x14ac:dyDescent="0.3"/>
  <cols>
    <col min="1" max="1" width="23.88671875" customWidth="1"/>
    <col min="2" max="2" width="17.44140625" customWidth="1"/>
  </cols>
  <sheetData>
    <row r="1" spans="1:5" x14ac:dyDescent="0.3">
      <c r="B1" t="s">
        <v>0</v>
      </c>
      <c r="C1" t="s">
        <v>1</v>
      </c>
      <c r="D1" t="s">
        <v>2</v>
      </c>
      <c r="E1" t="s">
        <v>3</v>
      </c>
    </row>
    <row r="2" spans="1:5" x14ac:dyDescent="0.3">
      <c r="A2" t="s">
        <v>4</v>
      </c>
      <c r="C2">
        <f>Uncombined!C2+Uncombined!F2</f>
        <v>11357</v>
      </c>
      <c r="D2">
        <v>174</v>
      </c>
      <c r="E2">
        <v>15</v>
      </c>
    </row>
    <row r="3" spans="1:5" x14ac:dyDescent="0.3">
      <c r="A3" t="s">
        <v>5</v>
      </c>
      <c r="C3">
        <f>Uncombined!C3+Uncombined!F3</f>
        <v>2527</v>
      </c>
      <c r="D3">
        <v>150</v>
      </c>
      <c r="E3">
        <v>34</v>
      </c>
    </row>
    <row r="4" spans="1:5" x14ac:dyDescent="0.3">
      <c r="A4" t="s">
        <v>6</v>
      </c>
      <c r="C4">
        <f>Uncombined!C4+Uncombined!F4</f>
        <v>4267</v>
      </c>
      <c r="D4">
        <v>139</v>
      </c>
      <c r="E4">
        <v>10</v>
      </c>
    </row>
    <row r="5" spans="1:5" x14ac:dyDescent="0.3">
      <c r="A5" t="s">
        <v>7</v>
      </c>
      <c r="C5">
        <f>Uncombined!C5+Uncombined!F5</f>
        <v>3851</v>
      </c>
      <c r="D5">
        <v>47</v>
      </c>
      <c r="E5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12B73E-0404-4F20-B6D0-8734DDBE8A74}">
  <dimension ref="A1:F5"/>
  <sheetViews>
    <sheetView workbookViewId="0">
      <selection activeCell="G5" sqref="G5"/>
    </sheetView>
  </sheetViews>
  <sheetFormatPr defaultRowHeight="14.4" x14ac:dyDescent="0.3"/>
  <cols>
    <col min="1" max="1" width="23.88671875" customWidth="1"/>
    <col min="2" max="2" width="17.44140625" customWidth="1"/>
  </cols>
  <sheetData>
    <row r="1" spans="1:6" x14ac:dyDescent="0.3">
      <c r="B1" t="s">
        <v>0</v>
      </c>
      <c r="C1" t="s">
        <v>1</v>
      </c>
      <c r="D1" t="s">
        <v>2</v>
      </c>
      <c r="E1" t="s">
        <v>3</v>
      </c>
      <c r="F1" t="s">
        <v>8</v>
      </c>
    </row>
    <row r="2" spans="1:6" x14ac:dyDescent="0.3">
      <c r="A2" t="s">
        <v>4</v>
      </c>
      <c r="C2">
        <v>11079</v>
      </c>
      <c r="D2">
        <v>174</v>
      </c>
      <c r="E2">
        <v>15</v>
      </c>
      <c r="F2">
        <v>278</v>
      </c>
    </row>
    <row r="3" spans="1:6" x14ac:dyDescent="0.3">
      <c r="A3" t="s">
        <v>5</v>
      </c>
      <c r="C3">
        <v>2320</v>
      </c>
      <c r="D3">
        <v>150</v>
      </c>
      <c r="E3">
        <v>34</v>
      </c>
      <c r="F3">
        <v>207</v>
      </c>
    </row>
    <row r="4" spans="1:6" x14ac:dyDescent="0.3">
      <c r="A4" t="s">
        <v>6</v>
      </c>
      <c r="C4">
        <v>4020</v>
      </c>
      <c r="D4">
        <v>139</v>
      </c>
      <c r="E4">
        <v>10</v>
      </c>
      <c r="F4">
        <v>247</v>
      </c>
    </row>
    <row r="5" spans="1:6" x14ac:dyDescent="0.3">
      <c r="A5" t="s">
        <v>7</v>
      </c>
      <c r="C5">
        <v>3755</v>
      </c>
      <c r="D5">
        <v>47</v>
      </c>
      <c r="E5">
        <v>24</v>
      </c>
      <c r="F5">
        <v>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8FFE50-6E00-4954-B24A-6E9F8B1952C3}">
  <dimension ref="A1:F8"/>
  <sheetViews>
    <sheetView workbookViewId="0">
      <selection activeCell="I2" sqref="I2"/>
    </sheetView>
  </sheetViews>
  <sheetFormatPr defaultRowHeight="14.4" x14ac:dyDescent="0.3"/>
  <cols>
    <col min="1" max="1" width="23.88671875" style="1" customWidth="1"/>
    <col min="2" max="2" width="13.109375" customWidth="1"/>
    <col min="3" max="3" width="12.6640625" customWidth="1"/>
    <col min="4" max="4" width="12.33203125" customWidth="1"/>
    <col min="5" max="5" width="13.77734375" customWidth="1"/>
    <col min="6" max="6" width="16.33203125" customWidth="1"/>
  </cols>
  <sheetData>
    <row r="1" spans="1:6" x14ac:dyDescent="0.3">
      <c r="B1" t="s">
        <v>0</v>
      </c>
      <c r="C1" t="s">
        <v>1</v>
      </c>
      <c r="D1" t="s">
        <v>2</v>
      </c>
      <c r="E1" t="s">
        <v>3</v>
      </c>
      <c r="F1" t="s">
        <v>8</v>
      </c>
    </row>
    <row r="2" spans="1:6" x14ac:dyDescent="0.3">
      <c r="A2" s="1" t="s">
        <v>9</v>
      </c>
      <c r="C2">
        <f>ROUND(AgeRaw!$B2*AgeRaw!C2,0)</f>
        <v>153651</v>
      </c>
      <c r="D2">
        <f>ROUND(AgeRaw!$B2*AgeRaw!D2,0)</f>
        <v>1317</v>
      </c>
      <c r="E2">
        <f>ROUND(AgeRaw!$B2*AgeRaw!E2,0)</f>
        <v>32</v>
      </c>
      <c r="F2">
        <f>ROUND(AgeRaw!$B2*AgeRaw!F2,0)</f>
        <v>3632</v>
      </c>
    </row>
    <row r="3" spans="1:6" x14ac:dyDescent="0.3">
      <c r="A3" s="1" t="s">
        <v>10</v>
      </c>
      <c r="C3">
        <f>ROUND(AgeRaw!$B3*AgeRaw!C3,0)</f>
        <v>244807</v>
      </c>
      <c r="D3">
        <f>ROUND(AgeRaw!$B3*AgeRaw!D3,0)</f>
        <v>3307</v>
      </c>
      <c r="E3">
        <f>ROUND(AgeRaw!$B3*AgeRaw!E3,0)</f>
        <v>52</v>
      </c>
      <c r="F3">
        <f>ROUND(AgeRaw!$B3*AgeRaw!F3,0)</f>
        <v>10180</v>
      </c>
    </row>
    <row r="4" spans="1:6" x14ac:dyDescent="0.3">
      <c r="A4" s="1" t="s">
        <v>11</v>
      </c>
      <c r="C4">
        <f>ROUND(AgeRaw!$B4*AgeRaw!C4,0)</f>
        <v>783150</v>
      </c>
      <c r="D4">
        <f>ROUND(AgeRaw!$B4*AgeRaw!D4,0)</f>
        <v>3930</v>
      </c>
      <c r="E4">
        <f>ROUND(AgeRaw!$B4*AgeRaw!E4,0)</f>
        <v>80</v>
      </c>
      <c r="F4">
        <f>ROUND(AgeRaw!$B4*AgeRaw!F4,0)</f>
        <v>14837</v>
      </c>
    </row>
    <row r="5" spans="1:6" x14ac:dyDescent="0.3">
      <c r="A5" s="1" t="s">
        <v>12</v>
      </c>
      <c r="C5">
        <f>ROUND(AgeRaw!$B5*AgeRaw!C5,0)</f>
        <v>1250234</v>
      </c>
      <c r="D5">
        <f>ROUND(AgeRaw!$B5*AgeRaw!D5,0)</f>
        <v>3813</v>
      </c>
      <c r="E5">
        <f>ROUND(AgeRaw!$B5*AgeRaw!E5,0)</f>
        <v>127</v>
      </c>
      <c r="F5">
        <f>ROUND(AgeRaw!$B5*AgeRaw!F5,0)</f>
        <v>16777</v>
      </c>
    </row>
    <row r="6" spans="1:6" x14ac:dyDescent="0.3">
      <c r="A6" s="1" t="s">
        <v>13</v>
      </c>
      <c r="C6">
        <f>ROUND(AgeRaw!$B6*AgeRaw!C6,0)</f>
        <v>862266</v>
      </c>
      <c r="D6">
        <f>ROUND(AgeRaw!$B6*AgeRaw!D6,0)</f>
        <v>3343</v>
      </c>
      <c r="E6">
        <f>ROUND(AgeRaw!$B6*AgeRaw!E6,0)</f>
        <v>88</v>
      </c>
      <c r="F6">
        <f>ROUND(AgeRaw!$B6*AgeRaw!F6,0)</f>
        <v>13987</v>
      </c>
    </row>
    <row r="7" spans="1:6" x14ac:dyDescent="0.3">
      <c r="A7" s="1" t="s">
        <v>14</v>
      </c>
      <c r="C7">
        <f>ROUND(AgeRaw!$B7*AgeRaw!C7,0)</f>
        <v>451053</v>
      </c>
      <c r="D7">
        <f>ROUND(AgeRaw!$B7*AgeRaw!D7,0)</f>
        <v>1895</v>
      </c>
      <c r="E7">
        <f>ROUND(AgeRaw!$B7*AgeRaw!E7,0)</f>
        <v>92</v>
      </c>
      <c r="F7">
        <f>ROUND(AgeRaw!$B7*AgeRaw!F7,0)</f>
        <v>9246</v>
      </c>
    </row>
    <row r="8" spans="1:6" x14ac:dyDescent="0.3">
      <c r="A8" s="1" t="s">
        <v>15</v>
      </c>
      <c r="C8">
        <f>ROUND(AgeRaw!$B8*AgeRaw!C8,0)</f>
        <v>158203</v>
      </c>
      <c r="D8">
        <f>ROUND(AgeRaw!$B8*AgeRaw!D8,0)</f>
        <v>918</v>
      </c>
      <c r="E8">
        <f>ROUND(AgeRaw!$B8*AgeRaw!E8,0)</f>
        <v>66</v>
      </c>
      <c r="F8">
        <f>ROUND(AgeRaw!$B8*AgeRaw!F8,0)</f>
        <v>4687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CE6D50-E2BF-4F8D-97A4-0D6B07C1DCD5}">
  <dimension ref="A1:F8"/>
  <sheetViews>
    <sheetView workbookViewId="0">
      <selection activeCell="B2" sqref="B2"/>
    </sheetView>
  </sheetViews>
  <sheetFormatPr defaultRowHeight="14.4" x14ac:dyDescent="0.3"/>
  <cols>
    <col min="2" max="3" width="20.5546875" customWidth="1"/>
  </cols>
  <sheetData>
    <row r="1" spans="1:6" x14ac:dyDescent="0.3">
      <c r="B1" t="s">
        <v>16</v>
      </c>
      <c r="C1" t="s">
        <v>1</v>
      </c>
      <c r="D1" t="s">
        <v>2</v>
      </c>
      <c r="E1" t="s">
        <v>3</v>
      </c>
      <c r="F1" t="s">
        <v>8</v>
      </c>
    </row>
    <row r="2" spans="1:6" x14ac:dyDescent="0.3">
      <c r="A2" s="1" t="s">
        <v>9</v>
      </c>
      <c r="B2">
        <v>158616</v>
      </c>
      <c r="C2">
        <v>0.96870000000000001</v>
      </c>
      <c r="D2">
        <v>8.3000000000000001E-3</v>
      </c>
      <c r="E2">
        <v>2.0000000000000001E-4</v>
      </c>
      <c r="F2">
        <v>2.29E-2</v>
      </c>
    </row>
    <row r="3" spans="1:6" x14ac:dyDescent="0.3">
      <c r="A3" s="1" t="s">
        <v>10</v>
      </c>
      <c r="B3">
        <v>258372</v>
      </c>
      <c r="C3">
        <v>0.94750000000000001</v>
      </c>
      <c r="D3">
        <v>1.2800000000000001E-2</v>
      </c>
      <c r="E3">
        <v>2.0000000000000001E-4</v>
      </c>
      <c r="F3">
        <v>3.9399999999999998E-2</v>
      </c>
    </row>
    <row r="4" spans="1:6" x14ac:dyDescent="0.3">
      <c r="A4" s="1" t="s">
        <v>11</v>
      </c>
      <c r="B4">
        <v>801997</v>
      </c>
      <c r="C4">
        <v>0.97650000000000003</v>
      </c>
      <c r="D4">
        <v>4.8999999999999998E-3</v>
      </c>
      <c r="E4">
        <v>1E-4</v>
      </c>
      <c r="F4">
        <v>1.8499999999999999E-2</v>
      </c>
    </row>
    <row r="5" spans="1:6" x14ac:dyDescent="0.3">
      <c r="A5" s="1" t="s">
        <v>12</v>
      </c>
      <c r="B5">
        <v>1270950</v>
      </c>
      <c r="C5">
        <v>0.98370000000000002</v>
      </c>
      <c r="D5">
        <v>3.0000000000000001E-3</v>
      </c>
      <c r="E5">
        <v>1E-4</v>
      </c>
      <c r="F5">
        <v>1.32E-2</v>
      </c>
    </row>
    <row r="6" spans="1:6" x14ac:dyDescent="0.3">
      <c r="A6" s="1" t="s">
        <v>13</v>
      </c>
      <c r="B6">
        <v>879684</v>
      </c>
      <c r="C6">
        <v>0.98019999999999996</v>
      </c>
      <c r="D6">
        <v>3.8E-3</v>
      </c>
      <c r="E6">
        <v>1E-4</v>
      </c>
      <c r="F6">
        <v>1.5900000000000001E-2</v>
      </c>
    </row>
    <row r="7" spans="1:6" x14ac:dyDescent="0.3">
      <c r="A7" s="1" t="s">
        <v>14</v>
      </c>
      <c r="B7">
        <v>462287</v>
      </c>
      <c r="C7">
        <v>0.97570000000000001</v>
      </c>
      <c r="D7">
        <v>4.1000000000000003E-3</v>
      </c>
      <c r="E7">
        <v>2.0000000000000001E-4</v>
      </c>
      <c r="F7">
        <v>0.02</v>
      </c>
    </row>
    <row r="8" spans="1:6" x14ac:dyDescent="0.3">
      <c r="A8" s="1" t="s">
        <v>15</v>
      </c>
      <c r="B8">
        <v>163873</v>
      </c>
      <c r="C8">
        <v>0.96540000000000004</v>
      </c>
      <c r="D8">
        <v>5.5999999999999999E-3</v>
      </c>
      <c r="E8">
        <v>4.0000000000000002E-4</v>
      </c>
      <c r="F8">
        <v>2.86E-2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8584C2-5799-4537-80B0-DCE0E5240BB5}">
  <dimension ref="A1:M14"/>
  <sheetViews>
    <sheetView workbookViewId="0">
      <selection activeCell="J3" sqref="J3"/>
    </sheetView>
  </sheetViews>
  <sheetFormatPr defaultRowHeight="14.4" x14ac:dyDescent="0.3"/>
  <cols>
    <col min="1" max="1" width="14.109375" customWidth="1"/>
    <col min="2" max="2" width="15.6640625" customWidth="1"/>
    <col min="3" max="3" width="14.109375" customWidth="1"/>
    <col min="4" max="4" width="15" customWidth="1"/>
    <col min="5" max="5" width="17.88671875" customWidth="1"/>
    <col min="6" max="7" width="14.6640625" customWidth="1"/>
    <col min="8" max="8" width="11" bestFit="1" customWidth="1"/>
    <col min="9" max="9" width="9" bestFit="1" customWidth="1"/>
    <col min="10" max="10" width="12" bestFit="1" customWidth="1"/>
    <col min="11" max="11" width="9" bestFit="1" customWidth="1"/>
    <col min="12" max="12" width="8.33203125" bestFit="1" customWidth="1"/>
    <col min="13" max="13" width="14.5546875" customWidth="1"/>
  </cols>
  <sheetData>
    <row r="1" spans="1:13" s="2" customFormat="1" x14ac:dyDescent="0.3">
      <c r="A1" s="2" t="s">
        <v>17</v>
      </c>
      <c r="B1" s="2" t="s">
        <v>16</v>
      </c>
      <c r="C1" s="4" t="s">
        <v>27</v>
      </c>
      <c r="D1" s="2" t="s">
        <v>19</v>
      </c>
      <c r="E1" s="2" t="s">
        <v>20</v>
      </c>
      <c r="F1" s="2" t="s">
        <v>21</v>
      </c>
      <c r="G1" s="2" t="s">
        <v>18</v>
      </c>
      <c r="H1" s="2" t="s">
        <v>26</v>
      </c>
      <c r="I1" s="2" t="s">
        <v>23</v>
      </c>
      <c r="J1" s="7" t="s">
        <v>22</v>
      </c>
      <c r="K1" s="7" t="s">
        <v>24</v>
      </c>
      <c r="L1" s="7" t="s">
        <v>25</v>
      </c>
      <c r="M1" s="2" t="s">
        <v>28</v>
      </c>
    </row>
    <row r="2" spans="1:13" x14ac:dyDescent="0.3">
      <c r="A2" t="s">
        <v>4</v>
      </c>
      <c r="B2">
        <v>11546</v>
      </c>
      <c r="C2" s="3">
        <v>0.95960000000000001</v>
      </c>
      <c r="D2" s="3">
        <v>2.41E-2</v>
      </c>
      <c r="E2" s="3">
        <v>1.5100000000000001E-2</v>
      </c>
      <c r="F2" s="3">
        <v>1.2999999999999999E-3</v>
      </c>
      <c r="G2" s="3">
        <f>C2+D2</f>
        <v>0.98370000000000002</v>
      </c>
      <c r="H2">
        <f>$B2*C2</f>
        <v>11079.5416</v>
      </c>
      <c r="I2">
        <f>$B2*D2</f>
        <v>278.2586</v>
      </c>
      <c r="J2" s="9">
        <f>G2*B2</f>
        <v>11357.8002</v>
      </c>
      <c r="K2" s="8">
        <f>$B2*E2</f>
        <v>174.34460000000001</v>
      </c>
      <c r="L2" s="8">
        <f>$B2*F2</f>
        <v>15.009799999999998</v>
      </c>
      <c r="M2" s="6">
        <f>SUM(J2:L2)</f>
        <v>11547.1546</v>
      </c>
    </row>
    <row r="3" spans="1:13" x14ac:dyDescent="0.3">
      <c r="A3" t="s">
        <v>5</v>
      </c>
      <c r="B3">
        <v>2711</v>
      </c>
      <c r="C3" s="3">
        <v>0.85570000000000002</v>
      </c>
      <c r="D3" s="3">
        <v>7.6499999999999999E-2</v>
      </c>
      <c r="E3" s="3">
        <v>5.5300000000000002E-2</v>
      </c>
      <c r="F3" s="3">
        <v>1.2500000000000001E-2</v>
      </c>
      <c r="G3" s="3">
        <f t="shared" ref="G3:G5" si="0">C3+D3</f>
        <v>0.93220000000000003</v>
      </c>
      <c r="H3">
        <f t="shared" ref="H3:H5" si="1">$B3*C3</f>
        <v>2319.8027000000002</v>
      </c>
      <c r="I3">
        <f>$B3*D3</f>
        <v>207.39150000000001</v>
      </c>
      <c r="J3" s="9">
        <f>G3*B3</f>
        <v>2527.1941999999999</v>
      </c>
      <c r="K3" s="8">
        <f t="shared" ref="K3:L5" si="2">$B3*E3</f>
        <v>149.91830000000002</v>
      </c>
      <c r="L3" s="8">
        <f t="shared" si="2"/>
        <v>33.887500000000003</v>
      </c>
      <c r="M3" s="6">
        <f t="shared" ref="M3:M5" si="3">SUM(J3:L3)</f>
        <v>2710.9999999999995</v>
      </c>
    </row>
    <row r="4" spans="1:13" x14ac:dyDescent="0.3">
      <c r="A4" t="s">
        <v>6</v>
      </c>
      <c r="B4">
        <v>4416</v>
      </c>
      <c r="C4" s="3">
        <v>0.91039999999999999</v>
      </c>
      <c r="D4" s="3">
        <v>5.5899999999999998E-2</v>
      </c>
      <c r="E4" s="3">
        <v>3.15E-2</v>
      </c>
      <c r="F4" s="3">
        <v>2.2000000000000001E-3</v>
      </c>
      <c r="G4" s="3">
        <f t="shared" si="0"/>
        <v>0.96629999999999994</v>
      </c>
      <c r="H4">
        <f t="shared" si="1"/>
        <v>4020.3263999999999</v>
      </c>
      <c r="I4">
        <f>$B4*D4</f>
        <v>246.8544</v>
      </c>
      <c r="J4" s="9">
        <f>G4*B4</f>
        <v>4267.1808000000001</v>
      </c>
      <c r="K4" s="8">
        <f t="shared" si="2"/>
        <v>139.10400000000001</v>
      </c>
      <c r="L4" s="8">
        <f t="shared" si="2"/>
        <v>9.7152000000000012</v>
      </c>
      <c r="M4" s="6">
        <f t="shared" si="3"/>
        <v>4416</v>
      </c>
    </row>
    <row r="5" spans="1:13" x14ac:dyDescent="0.3">
      <c r="A5" t="s">
        <v>7</v>
      </c>
      <c r="B5">
        <v>3922</v>
      </c>
      <c r="C5" s="3">
        <v>0.95730000000000004</v>
      </c>
      <c r="D5" s="3">
        <v>2.4500000000000001E-2</v>
      </c>
      <c r="E5" s="3">
        <v>1.2E-2</v>
      </c>
      <c r="F5" s="3">
        <v>6.1000000000000004E-3</v>
      </c>
      <c r="G5" s="3">
        <f t="shared" si="0"/>
        <v>0.98180000000000001</v>
      </c>
      <c r="H5">
        <f t="shared" si="1"/>
        <v>3754.5306</v>
      </c>
      <c r="I5">
        <f>$B5*D5</f>
        <v>96.088999999999999</v>
      </c>
      <c r="J5" s="9">
        <f>G5*B5</f>
        <v>3850.6196</v>
      </c>
      <c r="K5" s="8">
        <f t="shared" si="2"/>
        <v>47.064</v>
      </c>
      <c r="L5" s="8">
        <f t="shared" si="2"/>
        <v>23.924200000000003</v>
      </c>
      <c r="M5" s="6">
        <f t="shared" si="3"/>
        <v>3921.6077999999998</v>
      </c>
    </row>
    <row r="14" spans="1:13" x14ac:dyDescent="0.3">
      <c r="F14" s="5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Unspecified</vt:lpstr>
      <vt:lpstr>Uncombined</vt:lpstr>
      <vt:lpstr>AgeOnly</vt:lpstr>
      <vt:lpstr>AgeRaw</vt:lpstr>
      <vt:lpstr>Processing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Hadrian Ang</dc:creator>
  <cp:lastModifiedBy>Ang, Hadrian Jules</cp:lastModifiedBy>
  <dcterms:created xsi:type="dcterms:W3CDTF">2023-03-26T19:57:59Z</dcterms:created>
  <dcterms:modified xsi:type="dcterms:W3CDTF">2025-08-06T18:03:11Z</dcterms:modified>
</cp:coreProperties>
</file>