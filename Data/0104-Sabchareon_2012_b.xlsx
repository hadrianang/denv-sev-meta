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22" documentId="8_{6C757CA7-1915-408A-8446-6532BD2D4E01}" xr6:coauthVersionLast="47" xr6:coauthVersionMax="47" xr10:uidLastSave="{CF5628D9-9D32-486A-99E9-20887E3E1254}"/>
  <bookViews>
    <workbookView xWindow="-23148" yWindow="-108" windowWidth="23256" windowHeight="12456" activeTab="1" xr2:uid="{864015B7-DDC4-4993-BEC7-DBFDF8904F8E}"/>
  </bookViews>
  <sheets>
    <sheet name="Unspecified" sheetId="4" r:id="rId1"/>
    <sheet name="RAW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" l="1"/>
  <c r="D20" i="5"/>
  <c r="E20" i="5"/>
  <c r="F20" i="5"/>
  <c r="C20" i="5"/>
  <c r="C19" i="5" l="1" a="1"/>
  <c r="C19" i="5" s="1"/>
  <c r="E15" i="5"/>
  <c r="G15" i="5" s="1"/>
  <c r="F15" i="5"/>
  <c r="D15" i="5"/>
  <c r="C15" i="5"/>
  <c r="D13" i="5"/>
  <c r="E13" i="5"/>
  <c r="F13" i="5"/>
  <c r="C13" i="5"/>
  <c r="D14" i="5"/>
  <c r="F14" i="5"/>
  <c r="C14" i="5"/>
  <c r="C5" i="4"/>
  <c r="C4" i="4"/>
  <c r="C3" i="4"/>
  <c r="C2" i="4"/>
  <c r="D5" i="4"/>
  <c r="D4" i="4"/>
  <c r="D3" i="4"/>
  <c r="D2" i="4"/>
  <c r="G14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<sst xmlns="http://schemas.openxmlformats.org/spreadsheetml/2006/main" count="27" uniqueCount="18">
  <si>
    <t>Asymptomatic</t>
  </si>
  <si>
    <t>DENV1</t>
  </si>
  <si>
    <t>DENV2</t>
  </si>
  <si>
    <t>DENV3</t>
  </si>
  <si>
    <t>DENV4</t>
  </si>
  <si>
    <t>NotHospitalised</t>
  </si>
  <si>
    <t>Hospitalised</t>
  </si>
  <si>
    <t>Diagnosis</t>
  </si>
  <si>
    <t>DHF</t>
  </si>
  <si>
    <t>DF</t>
  </si>
  <si>
    <t>UF</t>
  </si>
  <si>
    <t>Gr1</t>
  </si>
  <si>
    <t>Gr2</t>
  </si>
  <si>
    <t>Gr3</t>
  </si>
  <si>
    <t>Hosp</t>
  </si>
  <si>
    <t>HospTotal</t>
  </si>
  <si>
    <t>Total</t>
  </si>
  <si>
    <t>NotHosp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</si>
</sst>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CD97-EA54-435C-9C5E-114A1D4A6A51}">
  <dimension ref="A1:D5"/>
  <sheetViews>
    <sheetView workbookViewId="0">
      <selection activeCell="E11" sqref="E11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f>(14+57+73)-D2</f>
        <v>69</v>
      </c>
      <c r="D2">
        <f>9+52+14</f>
        <v>75</v>
      </c>
    </row>
    <row r="3" spans="1:4" x14ac:dyDescent="0.3">
      <c r="A3" t="s">
        <v>2</v>
      </c>
      <c r="C3">
        <f>10+31+57-D3</f>
        <v>58</v>
      </c>
      <c r="D3">
        <f>7+23+10</f>
        <v>40</v>
      </c>
    </row>
    <row r="4" spans="1:4" x14ac:dyDescent="0.3">
      <c r="A4" t="s">
        <v>3</v>
      </c>
      <c r="C4">
        <f>10+26+30-D4</f>
        <v>32</v>
      </c>
      <c r="D4">
        <f>2+22+10</f>
        <v>34</v>
      </c>
    </row>
    <row r="5" spans="1:4" x14ac:dyDescent="0.3">
      <c r="A5" t="s">
        <v>4</v>
      </c>
      <c r="C5">
        <f>2+11+12-D5</f>
        <v>11</v>
      </c>
      <c r="D5">
        <f>3+9+2</f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BBD8-7037-4ED9-A720-079619C1A65A}">
  <dimension ref="A1:G21"/>
  <sheetViews>
    <sheetView tabSelected="1" workbookViewId="0">
      <selection activeCell="E15" sqref="E15"/>
    </sheetView>
  </sheetViews>
  <sheetFormatPr defaultRowHeight="14.4" x14ac:dyDescent="0.3"/>
  <sheetData>
    <row r="1" spans="1:7" x14ac:dyDescent="0.3">
      <c r="A1" t="s">
        <v>7</v>
      </c>
      <c r="C1" t="s">
        <v>1</v>
      </c>
      <c r="D1" t="s">
        <v>2</v>
      </c>
      <c r="E1" t="s">
        <v>3</v>
      </c>
      <c r="F1" t="s">
        <v>4</v>
      </c>
    </row>
    <row r="2" spans="1:7" x14ac:dyDescent="0.3">
      <c r="A2" t="s">
        <v>8</v>
      </c>
      <c r="C2">
        <v>14</v>
      </c>
      <c r="D2">
        <v>10</v>
      </c>
      <c r="E2">
        <v>10</v>
      </c>
      <c r="F2">
        <v>2</v>
      </c>
    </row>
    <row r="3" spans="1:7" x14ac:dyDescent="0.3">
      <c r="B3" t="s">
        <v>11</v>
      </c>
      <c r="C3">
        <v>9</v>
      </c>
      <c r="D3">
        <v>7</v>
      </c>
      <c r="E3">
        <v>7</v>
      </c>
      <c r="F3">
        <v>2</v>
      </c>
    </row>
    <row r="4" spans="1:7" x14ac:dyDescent="0.3">
      <c r="B4" t="s">
        <v>12</v>
      </c>
      <c r="C4">
        <v>2</v>
      </c>
      <c r="D4">
        <v>1</v>
      </c>
      <c r="E4">
        <v>2</v>
      </c>
      <c r="F4">
        <v>0</v>
      </c>
    </row>
    <row r="5" spans="1:7" x14ac:dyDescent="0.3">
      <c r="B5" t="s">
        <v>13</v>
      </c>
      <c r="C5">
        <v>3</v>
      </c>
      <c r="D5">
        <v>2</v>
      </c>
      <c r="E5">
        <v>1</v>
      </c>
      <c r="F5">
        <v>0</v>
      </c>
    </row>
    <row r="6" spans="1:7" x14ac:dyDescent="0.3">
      <c r="B6" t="s">
        <v>14</v>
      </c>
      <c r="C6">
        <v>14</v>
      </c>
      <c r="D6">
        <v>10</v>
      </c>
      <c r="E6">
        <v>10</v>
      </c>
      <c r="F6">
        <v>2</v>
      </c>
    </row>
    <row r="7" spans="1:7" x14ac:dyDescent="0.3">
      <c r="A7" t="s">
        <v>9</v>
      </c>
      <c r="C7">
        <v>57</v>
      </c>
      <c r="D7">
        <v>31</v>
      </c>
      <c r="E7">
        <v>26</v>
      </c>
      <c r="F7">
        <v>11</v>
      </c>
    </row>
    <row r="8" spans="1:7" x14ac:dyDescent="0.3">
      <c r="B8" t="s">
        <v>14</v>
      </c>
      <c r="C8">
        <v>52</v>
      </c>
      <c r="D8">
        <v>23</v>
      </c>
      <c r="E8">
        <v>22</v>
      </c>
      <c r="F8">
        <v>9</v>
      </c>
    </row>
    <row r="10" spans="1:7" x14ac:dyDescent="0.3">
      <c r="A10" t="s">
        <v>10</v>
      </c>
      <c r="C10">
        <v>73</v>
      </c>
      <c r="D10">
        <v>57</v>
      </c>
      <c r="E10">
        <v>30</v>
      </c>
      <c r="F10">
        <v>12</v>
      </c>
    </row>
    <row r="11" spans="1:7" x14ac:dyDescent="0.3">
      <c r="B11" t="s">
        <v>14</v>
      </c>
      <c r="C11">
        <v>9</v>
      </c>
      <c r="D11">
        <v>7</v>
      </c>
      <c r="E11">
        <v>2</v>
      </c>
      <c r="F11">
        <v>3</v>
      </c>
    </row>
    <row r="13" spans="1:7" x14ac:dyDescent="0.3">
      <c r="B13" t="s">
        <v>16</v>
      </c>
      <c r="C13">
        <f>SUM(C2,C7,C10)</f>
        <v>144</v>
      </c>
      <c r="D13">
        <f t="shared" ref="D13:F13" si="0">SUM(D2,D7,D10)</f>
        <v>98</v>
      </c>
      <c r="E13">
        <f t="shared" si="0"/>
        <v>66</v>
      </c>
      <c r="F13">
        <f t="shared" si="0"/>
        <v>25</v>
      </c>
    </row>
    <row r="14" spans="1:7" x14ac:dyDescent="0.3">
      <c r="B14" t="s">
        <v>15</v>
      </c>
      <c r="C14">
        <f>SUM(C6,C8,C11)</f>
        <v>75</v>
      </c>
      <c r="D14">
        <f t="shared" ref="D14:F14" si="1">SUM(D6,D8,D11)</f>
        <v>40</v>
      </c>
      <c r="E14">
        <f>SUM(E6,E8,E11)</f>
        <v>34</v>
      </c>
      <c r="F14">
        <f t="shared" si="1"/>
        <v>14</v>
      </c>
      <c r="G14">
        <f>SUM(C14:F14)</f>
        <v>163</v>
      </c>
    </row>
    <row r="15" spans="1:7" x14ac:dyDescent="0.3">
      <c r="B15" t="s">
        <v>17</v>
      </c>
      <c r="C15">
        <f>C13-C14</f>
        <v>69</v>
      </c>
      <c r="D15">
        <f t="shared" ref="D15:F15" si="2">D13-D14</f>
        <v>58</v>
      </c>
      <c r="E15">
        <f>E13-E14</f>
        <v>32</v>
      </c>
      <c r="F15">
        <f t="shared" si="2"/>
        <v>11</v>
      </c>
      <c r="G15">
        <f>SUM(C15:F15)</f>
        <v>170</v>
      </c>
    </row>
    <row r="19" spans="2:6" x14ac:dyDescent="0.3">
      <c r="B19" t="s">
        <v>10</v>
      </c>
      <c r="C19" cm="1">
        <f t="array" ref="C19:F19">C10:F10</f>
        <v>73</v>
      </c>
      <c r="D19">
        <v>57</v>
      </c>
      <c r="E19">
        <v>30</v>
      </c>
      <c r="F19">
        <v>12</v>
      </c>
    </row>
    <row r="20" spans="2:6" x14ac:dyDescent="0.3">
      <c r="B20" t="s">
        <v>9</v>
      </c>
      <c r="C20">
        <f>C7</f>
        <v>57</v>
      </c>
      <c r="D20">
        <f>D7</f>
        <v>31</v>
      </c>
      <c r="E20">
        <f t="shared" ref="E20:F20" si="3">E7</f>
        <v>26</v>
      </c>
      <c r="F20">
        <f t="shared" si="3"/>
        <v>11</v>
      </c>
    </row>
    <row r="21" spans="2:6" x14ac:dyDescent="0.3">
      <c r="B2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2025-08-06T18:06:09Z</dcterms:modified>
</cp:coreProperties>
</file>